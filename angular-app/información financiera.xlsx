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angular-app\"/>
    </mc:Choice>
  </mc:AlternateContent>
  <xr:revisionPtr revIDLastSave="0" documentId="13_ncr:1_{E9C7C185-8B42-42A0-963C-598898F9EE21}" xr6:coauthVersionLast="47" xr6:coauthVersionMax="47" xr10:uidLastSave="{00000000-0000-0000-0000-000000000000}"/>
  <bookViews>
    <workbookView xWindow="-108" yWindow="-108" windowWidth="23256" windowHeight="12456" xr2:uid="{5A666AAE-12A7-4AC1-A0BA-0022B8B7ED27}"/>
  </bookViews>
  <sheets>
    <sheet name="Carter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4" i="1" s="1"/>
  <c r="F14" i="1"/>
  <c r="J13" i="1"/>
  <c r="M13" i="1" s="1"/>
  <c r="H13" i="1"/>
  <c r="F10" i="1"/>
  <c r="G8" i="1" s="1"/>
  <c r="J9" i="1"/>
  <c r="K9" i="1" s="1"/>
  <c r="H9" i="1"/>
  <c r="J8" i="1"/>
  <c r="H8" i="1"/>
  <c r="J7" i="1"/>
  <c r="H7" i="1"/>
  <c r="J6" i="1"/>
  <c r="H6" i="1"/>
  <c r="J5" i="1"/>
  <c r="H5" i="1"/>
  <c r="J4" i="1"/>
  <c r="H4" i="1"/>
  <c r="J3" i="1"/>
  <c r="H3" i="1"/>
  <c r="G3" i="1"/>
  <c r="G5" i="1" l="1"/>
  <c r="J14" i="1"/>
  <c r="G4" i="1"/>
  <c r="G7" i="1"/>
  <c r="G6" i="1"/>
  <c r="G9" i="1"/>
  <c r="K4" i="1"/>
  <c r="M4" i="1"/>
  <c r="K3" i="1"/>
  <c r="M3" i="1"/>
  <c r="M6" i="1"/>
  <c r="K6" i="1"/>
  <c r="M7" i="1"/>
  <c r="K7" i="1"/>
  <c r="M5" i="1"/>
  <c r="K5" i="1"/>
  <c r="K8" i="1"/>
  <c r="M8" i="1"/>
  <c r="M9" i="1"/>
  <c r="J10" i="1"/>
  <c r="L9" i="1" s="1"/>
  <c r="L7" i="1" l="1"/>
  <c r="K10" i="1"/>
  <c r="L8" i="1"/>
  <c r="L6" i="1"/>
  <c r="M10" i="1"/>
  <c r="L3" i="1"/>
  <c r="L5" i="1"/>
  <c r="L4" i="1"/>
</calcChain>
</file>

<file path=xl/sharedStrings.xml><?xml version="1.0" encoding="utf-8"?>
<sst xmlns="http://schemas.openxmlformats.org/spreadsheetml/2006/main" count="47" uniqueCount="33">
  <si>
    <t>Fecha</t>
  </si>
  <si>
    <t>Participaciones</t>
  </si>
  <si>
    <t>Moneda</t>
  </si>
  <si>
    <t>Tipo</t>
  </si>
  <si>
    <t>Peso</t>
  </si>
  <si>
    <t>Valor</t>
  </si>
  <si>
    <t>FONDOS</t>
  </si>
  <si>
    <t>Horos Value Internacional, FI</t>
  </si>
  <si>
    <t>EUR</t>
  </si>
  <si>
    <t>SMALL</t>
  </si>
  <si>
    <t>Kutxabank bolsa eurozona FI clase estándar</t>
  </si>
  <si>
    <t>B&amp;H Bonds "1"</t>
  </si>
  <si>
    <t>RF</t>
  </si>
  <si>
    <t>Vanguard US 500 Stock Index Inv</t>
  </si>
  <si>
    <t>SP500</t>
  </si>
  <si>
    <t>Vanguard European Stock</t>
  </si>
  <si>
    <t>VANGUARD EM STOCK IND (EUR) ACC</t>
  </si>
  <si>
    <t>EME</t>
  </si>
  <si>
    <t>ACCIONES</t>
  </si>
  <si>
    <t>Banco Santander</t>
  </si>
  <si>
    <t>ISIN</t>
  </si>
  <si>
    <t>Total invertido</t>
  </si>
  <si>
    <t>% rentabilidadTotal</t>
  </si>
  <si>
    <t>Rentabilidad €</t>
  </si>
  <si>
    <t>Totales</t>
  </si>
  <si>
    <t>Valoración Total</t>
  </si>
  <si>
    <t>ES0146309002</t>
  </si>
  <si>
    <t>LU1988110927</t>
  </si>
  <si>
    <t>IE0032620787</t>
  </si>
  <si>
    <t>IE0007987690</t>
  </si>
  <si>
    <t>IE0031786696</t>
  </si>
  <si>
    <t>ES0114221031</t>
  </si>
  <si>
    <t>SAN.MC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</si>
</sst>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E6B8AF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7E1C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AD1D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EA4335"/>
        <bgColor rgb="FF000000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wrapText="1"/>
    </xf>
    <xf numFmtId="0" fontId="1" fillId="5" borderId="9" xfId="0" applyFont="1" applyFill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horizontal="center" wrapText="1"/>
    </xf>
    <xf numFmtId="8" fontId="1" fillId="0" borderId="12" xfId="0" applyNumberFormat="1" applyFont="1" applyBorder="1" applyAlignment="1">
      <alignment horizontal="right" wrapText="1"/>
    </xf>
    <xf numFmtId="10" fontId="1" fillId="0" borderId="13" xfId="0" applyNumberFormat="1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1" fillId="6" borderId="12" xfId="0" applyFont="1" applyFill="1" applyBorder="1" applyAlignment="1">
      <alignment horizontal="right" wrapText="1"/>
    </xf>
    <xf numFmtId="8" fontId="1" fillId="0" borderId="7" xfId="0" applyNumberFormat="1" applyFont="1" applyBorder="1" applyAlignment="1">
      <alignment horizontal="right" wrapText="1"/>
    </xf>
    <xf numFmtId="8" fontId="1" fillId="0" borderId="8" xfId="0" applyNumberFormat="1" applyFont="1" applyBorder="1" applyAlignment="1">
      <alignment horizontal="right" wrapText="1"/>
    </xf>
    <xf numFmtId="10" fontId="1" fillId="0" borderId="14" xfId="0" applyNumberFormat="1" applyFont="1" applyBorder="1" applyAlignment="1">
      <alignment horizontal="right" wrapText="1"/>
    </xf>
    <xf numFmtId="10" fontId="1" fillId="7" borderId="15" xfId="0" applyNumberFormat="1" applyFont="1" applyFill="1" applyBorder="1" applyAlignment="1">
      <alignment horizontal="right" wrapText="1"/>
    </xf>
    <xf numFmtId="0" fontId="1" fillId="5" borderId="12" xfId="0" applyFont="1" applyFill="1" applyBorder="1" applyAlignment="1">
      <alignment horizontal="right" wrapText="1"/>
    </xf>
    <xf numFmtId="10" fontId="1" fillId="0" borderId="7" xfId="0" applyNumberFormat="1" applyFont="1" applyBorder="1" applyAlignment="1">
      <alignment horizontal="right" wrapText="1"/>
    </xf>
    <xf numFmtId="8" fontId="1" fillId="0" borderId="16" xfId="0" applyNumberFormat="1" applyFont="1" applyBorder="1" applyAlignment="1">
      <alignment horizontal="right" wrapText="1"/>
    </xf>
    <xf numFmtId="10" fontId="1" fillId="7" borderId="17" xfId="0" applyNumberFormat="1" applyFont="1" applyFill="1" applyBorder="1" applyAlignment="1">
      <alignment horizontal="right" wrapText="1"/>
    </xf>
    <xf numFmtId="8" fontId="1" fillId="0" borderId="11" xfId="0" applyNumberFormat="1" applyFont="1" applyBorder="1" applyAlignment="1">
      <alignment horizontal="center" wrapText="1"/>
    </xf>
    <xf numFmtId="14" fontId="1" fillId="0" borderId="7" xfId="0" applyNumberFormat="1" applyFont="1" applyBorder="1" applyAlignment="1">
      <alignment horizontal="right" wrapText="1"/>
    </xf>
    <xf numFmtId="0" fontId="1" fillId="5" borderId="18" xfId="0" applyFont="1" applyFill="1" applyBorder="1" applyAlignment="1">
      <alignment wrapText="1"/>
    </xf>
    <xf numFmtId="8" fontId="1" fillId="0" borderId="19" xfId="0" applyNumberFormat="1" applyFont="1" applyBorder="1" applyAlignment="1">
      <alignment horizontal="center" wrapText="1"/>
    </xf>
    <xf numFmtId="8" fontId="1" fillId="0" borderId="20" xfId="0" applyNumberFormat="1" applyFont="1" applyBorder="1" applyAlignment="1">
      <alignment horizontal="right" wrapText="1"/>
    </xf>
    <xf numFmtId="10" fontId="1" fillId="0" borderId="21" xfId="0" applyNumberFormat="1" applyFont="1" applyBorder="1" applyAlignment="1">
      <alignment horizontal="right" wrapText="1"/>
    </xf>
    <xf numFmtId="14" fontId="1" fillId="0" borderId="22" xfId="0" applyNumberFormat="1" applyFont="1" applyBorder="1" applyAlignment="1">
      <alignment horizontal="right" wrapText="1"/>
    </xf>
    <xf numFmtId="0" fontId="1" fillId="6" borderId="20" xfId="0" applyFont="1" applyFill="1" applyBorder="1" applyAlignment="1">
      <alignment horizontal="right" wrapText="1"/>
    </xf>
    <xf numFmtId="10" fontId="1" fillId="0" borderId="22" xfId="0" applyNumberFormat="1" applyFont="1" applyBorder="1" applyAlignment="1">
      <alignment horizontal="right" wrapText="1"/>
    </xf>
    <xf numFmtId="0" fontId="1" fillId="8" borderId="23" xfId="0" applyFont="1" applyFill="1" applyBorder="1" applyAlignment="1">
      <alignment wrapText="1"/>
    </xf>
    <xf numFmtId="0" fontId="1" fillId="8" borderId="24" xfId="0" applyFont="1" applyFill="1" applyBorder="1" applyAlignment="1">
      <alignment wrapText="1"/>
    </xf>
    <xf numFmtId="0" fontId="1" fillId="8" borderId="25" xfId="0" applyFont="1" applyFill="1" applyBorder="1" applyAlignment="1">
      <alignment wrapText="1"/>
    </xf>
    <xf numFmtId="0" fontId="1" fillId="8" borderId="26" xfId="0" applyFont="1" applyFill="1" applyBorder="1" applyAlignment="1">
      <alignment wrapText="1"/>
    </xf>
    <xf numFmtId="8" fontId="1" fillId="9" borderId="25" xfId="0" applyNumberFormat="1" applyFont="1" applyFill="1" applyBorder="1" applyAlignment="1">
      <alignment horizontal="right" wrapText="1"/>
    </xf>
    <xf numFmtId="0" fontId="1" fillId="8" borderId="27" xfId="0" applyFont="1" applyFill="1" applyBorder="1" applyAlignment="1">
      <alignment wrapText="1"/>
    </xf>
    <xf numFmtId="8" fontId="1" fillId="8" borderId="26" xfId="0" applyNumberFormat="1" applyFont="1" applyFill="1" applyBorder="1" applyAlignment="1">
      <alignment horizontal="right" wrapText="1"/>
    </xf>
    <xf numFmtId="8" fontId="1" fillId="10" borderId="25" xfId="0" applyNumberFormat="1" applyFont="1" applyFill="1" applyBorder="1" applyAlignment="1">
      <alignment horizontal="right" wrapText="1"/>
    </xf>
    <xf numFmtId="10" fontId="1" fillId="7" borderId="28" xfId="0" applyNumberFormat="1" applyFont="1" applyFill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29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0" borderId="31" xfId="0" applyFont="1" applyBorder="1" applyAlignment="1">
      <alignment wrapText="1"/>
    </xf>
    <xf numFmtId="0" fontId="1" fillId="0" borderId="13" xfId="0" applyFont="1" applyBorder="1" applyAlignment="1">
      <alignment wrapText="1"/>
    </xf>
    <xf numFmtId="8" fontId="1" fillId="6" borderId="12" xfId="0" applyNumberFormat="1" applyFont="1" applyFill="1" applyBorder="1" applyAlignment="1">
      <alignment horizontal="right" wrapText="1"/>
    </xf>
    <xf numFmtId="8" fontId="1" fillId="0" borderId="13" xfId="0" applyNumberFormat="1" applyFont="1" applyBorder="1" applyAlignment="1">
      <alignment horizontal="right" wrapText="1"/>
    </xf>
    <xf numFmtId="14" fontId="1" fillId="0" borderId="12" xfId="0" applyNumberFormat="1" applyFont="1" applyBorder="1" applyAlignment="1">
      <alignment horizontal="right" wrapText="1"/>
    </xf>
    <xf numFmtId="10" fontId="1" fillId="7" borderId="13" xfId="0" applyNumberFormat="1" applyFont="1" applyFill="1" applyBorder="1" applyAlignment="1">
      <alignment horizontal="right" wrapText="1"/>
    </xf>
    <xf numFmtId="0" fontId="1" fillId="8" borderId="3" xfId="0" applyFont="1" applyFill="1" applyBorder="1" applyAlignment="1">
      <alignment wrapText="1"/>
    </xf>
    <xf numFmtId="0" fontId="1" fillId="8" borderId="32" xfId="0" applyFont="1" applyFill="1" applyBorder="1" applyAlignment="1">
      <alignment wrapText="1"/>
    </xf>
    <xf numFmtId="8" fontId="1" fillId="9" borderId="32" xfId="0" applyNumberFormat="1" applyFont="1" applyFill="1" applyBorder="1" applyAlignment="1">
      <alignment horizontal="right" wrapText="1"/>
    </xf>
    <xf numFmtId="10" fontId="1" fillId="11" borderId="3" xfId="0" applyNumberFormat="1" applyFont="1" applyFill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2" fillId="4" borderId="33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jalvaref/Downloads/Informaci&#243;n%20financiera.xlsm" TargetMode="External"/><Relationship Id="rId2" Type="http://schemas.openxmlformats.org/officeDocument/2006/relationships/externalLinkPath" Target="file:///C:\Users\jalvaref\Downloads\Informaci&#243;n%20financiera.xlsm" TargetMode="External"/><Relationship Id="rId1" Type="http://schemas.openxmlformats.org/officeDocument/2006/relationships/externalLinkPath" Target="/Users/jalvaref/Downloads/Informaci&#243;n%20financier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storico cartera"/>
      <sheetName val="Cartera"/>
      <sheetName val="Rentabilidad"/>
      <sheetName val="Horos Value Internacional, FI"/>
      <sheetName val="Histórico cartera"/>
      <sheetName val="Acciones Santander"/>
      <sheetName val="True Value Small Caps C"/>
      <sheetName val="Vanguard European Stock"/>
      <sheetName val="Vanguard US 500 Stock Index Inv"/>
      <sheetName val="B&amp;H BONDS 1"/>
      <sheetName val="VANGUARD EM STOCK IND (EUR) ACC"/>
      <sheetName val="Kutxabank Bolsa Eurozona"/>
    </sheetNames>
    <sheetDataSet>
      <sheetData sheetId="0"/>
      <sheetData sheetId="1"/>
      <sheetData sheetId="2"/>
      <sheetData sheetId="3">
        <row r="2">
          <cell r="A2" t="str">
            <v>2026-03-30</v>
          </cell>
        </row>
      </sheetData>
      <sheetData sheetId="4"/>
      <sheetData sheetId="5">
        <row r="2">
          <cell r="A2" t="str">
            <v>2026-03-31</v>
          </cell>
        </row>
      </sheetData>
      <sheetData sheetId="6"/>
      <sheetData sheetId="7">
        <row r="2">
          <cell r="A2" t="str">
            <v>2026-03-31</v>
          </cell>
        </row>
      </sheetData>
      <sheetData sheetId="8">
        <row r="2">
          <cell r="A2" t="str">
            <v>2026-03-31</v>
          </cell>
        </row>
      </sheetData>
      <sheetData sheetId="9">
        <row r="2">
          <cell r="A2" t="str">
            <v>2026-03-30</v>
          </cell>
        </row>
      </sheetData>
      <sheetData sheetId="10">
        <row r="2">
          <cell r="A2" t="str">
            <v>2026-03-31</v>
          </cell>
        </row>
      </sheetData>
      <sheetData sheetId="11">
        <row r="2">
          <cell r="A2" t="str">
            <v>2026-03-27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FF9E-8517-4975-B277-3619059C1BBF}">
  <dimension ref="A1:M14"/>
  <sheetViews>
    <sheetView tabSelected="1" workbookViewId="0">
      <selection activeCell="F9" activeCellId="1" sqref="F3 F9"/>
    </sheetView>
  </sheetViews>
  <sheetFormatPr baseColWidth="10" defaultRowHeight="14.4" x14ac:dyDescent="0.3"/>
  <cols>
    <col min="1" max="1" width="41" customWidth="1"/>
    <col min="2" max="2" width="13.44140625" bestFit="1" customWidth="1"/>
    <col min="3" max="3" width="16.5546875" customWidth="1"/>
    <col min="6" max="6" width="19.44140625" customWidth="1"/>
    <col min="10" max="10" width="20.44140625" customWidth="1"/>
    <col min="11" max="11" width="14.77734375" customWidth="1"/>
    <col min="13" max="13" width="19.21875" customWidth="1"/>
  </cols>
  <sheetData>
    <row r="1" spans="1:13" ht="15" thickBot="1" x14ac:dyDescent="0.35">
      <c r="A1" s="1"/>
      <c r="B1" s="2" t="s">
        <v>20</v>
      </c>
      <c r="C1" s="2" t="s">
        <v>1</v>
      </c>
      <c r="D1" s="2" t="s">
        <v>2</v>
      </c>
      <c r="E1" s="2" t="s">
        <v>3</v>
      </c>
      <c r="F1" s="2" t="s">
        <v>21</v>
      </c>
      <c r="G1" s="2" t="s">
        <v>4</v>
      </c>
      <c r="H1" s="3" t="s">
        <v>0</v>
      </c>
      <c r="I1" s="3" t="s">
        <v>5</v>
      </c>
      <c r="J1" s="3" t="s">
        <v>25</v>
      </c>
      <c r="K1" s="3" t="s">
        <v>23</v>
      </c>
      <c r="L1" s="3" t="s">
        <v>4</v>
      </c>
      <c r="M1" s="3" t="s">
        <v>22</v>
      </c>
    </row>
    <row r="2" spans="1:13" ht="15" thickBot="1" x14ac:dyDescent="0.35">
      <c r="A2" s="52" t="s">
        <v>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15" thickBot="1" x14ac:dyDescent="0.35">
      <c r="A3" s="4" t="s">
        <v>7</v>
      </c>
      <c r="B3" s="5" t="s">
        <v>26</v>
      </c>
      <c r="C3" s="5">
        <v>39.389000000000003</v>
      </c>
      <c r="D3" s="6" t="s">
        <v>8</v>
      </c>
      <c r="E3" s="7" t="s">
        <v>9</v>
      </c>
      <c r="F3" s="8">
        <v>7769.23</v>
      </c>
      <c r="G3" s="9">
        <f>F3/$F$10</f>
        <v>0.32686081963950869</v>
      </c>
      <c r="H3" s="10" t="str">
        <f>'[1]Horos Value Internacional, FI'!A2</f>
        <v>2026-03-30</v>
      </c>
      <c r="I3" s="11">
        <v>200.64160000000001</v>
      </c>
      <c r="J3" s="12">
        <f t="shared" ref="J3:J9" si="0">C3*I3</f>
        <v>7903.0719824000007</v>
      </c>
      <c r="K3" s="13">
        <f>J3-F3</f>
        <v>133.84198240000114</v>
      </c>
      <c r="L3" s="14">
        <f>J3/$J$10</f>
        <v>0.30703960766893562</v>
      </c>
      <c r="M3" s="15">
        <f>(J3-F3)/F3</f>
        <v>1.7227187559127628E-2</v>
      </c>
    </row>
    <row r="4" spans="1:13" ht="15" thickBot="1" x14ac:dyDescent="0.35">
      <c r="A4" s="4" t="s">
        <v>10</v>
      </c>
      <c r="B4" s="16" t="s">
        <v>31</v>
      </c>
      <c r="C4" s="16">
        <v>692.485724</v>
      </c>
      <c r="D4" s="6" t="s">
        <v>8</v>
      </c>
      <c r="E4" s="7" t="s">
        <v>8</v>
      </c>
      <c r="F4" s="8">
        <v>5000</v>
      </c>
      <c r="G4" s="9">
        <f t="shared" ref="G4:G8" si="1">F4/$F$10</f>
        <v>0.21035599386265352</v>
      </c>
      <c r="H4" s="17" t="str">
        <f>'[1]Kutxabank Bolsa Eurozona'!A2</f>
        <v>2026-03-27</v>
      </c>
      <c r="I4" s="11">
        <v>8.2230000000000008</v>
      </c>
      <c r="J4" s="12">
        <f t="shared" si="0"/>
        <v>5694.3101084520003</v>
      </c>
      <c r="K4" s="18">
        <f t="shared" ref="K4:K8" si="2">J4-F4</f>
        <v>694.31010845200035</v>
      </c>
      <c r="L4" s="17">
        <f t="shared" ref="L4:L8" si="3">J4/$J$10</f>
        <v>0.22122773847156704</v>
      </c>
      <c r="M4" s="19">
        <f t="shared" ref="M4:M5" si="4">(J4-F4)/F4</f>
        <v>0.13886202169040007</v>
      </c>
    </row>
    <row r="5" spans="1:13" ht="15" thickBot="1" x14ac:dyDescent="0.35">
      <c r="A5" s="4" t="s">
        <v>11</v>
      </c>
      <c r="B5" s="16" t="s">
        <v>27</v>
      </c>
      <c r="C5" s="16">
        <v>4449.4660000000003</v>
      </c>
      <c r="D5" s="6" t="s">
        <v>8</v>
      </c>
      <c r="E5" s="20" t="s">
        <v>12</v>
      </c>
      <c r="F5" s="8">
        <v>5000</v>
      </c>
      <c r="G5" s="9">
        <f t="shared" si="1"/>
        <v>0.21035599386265352</v>
      </c>
      <c r="H5" s="17" t="str">
        <f>'[1]B&amp;H BONDS 1'!A2</f>
        <v>2026-03-30</v>
      </c>
      <c r="I5" s="11">
        <v>1.3069999999999999</v>
      </c>
      <c r="J5" s="12">
        <f t="shared" si="0"/>
        <v>5815.4520620000003</v>
      </c>
      <c r="K5" s="18">
        <f t="shared" si="2"/>
        <v>815.4520620000003</v>
      </c>
      <c r="L5" s="17">
        <f t="shared" si="3"/>
        <v>0.22593418401229601</v>
      </c>
      <c r="M5" s="19">
        <f t="shared" si="4"/>
        <v>0.16309041240000005</v>
      </c>
    </row>
    <row r="6" spans="1:13" ht="15" thickBot="1" x14ac:dyDescent="0.35">
      <c r="A6" s="4" t="s">
        <v>13</v>
      </c>
      <c r="B6" s="16" t="s">
        <v>28</v>
      </c>
      <c r="C6" s="16">
        <v>48.68</v>
      </c>
      <c r="D6" s="6" t="s">
        <v>8</v>
      </c>
      <c r="E6" s="20" t="s">
        <v>14</v>
      </c>
      <c r="F6" s="8">
        <v>3000</v>
      </c>
      <c r="G6" s="9">
        <f t="shared" si="1"/>
        <v>0.1262135963175921</v>
      </c>
      <c r="H6" s="21" t="str">
        <f>'[1]Vanguard US 500 Stock Index Inv'!A2</f>
        <v>2026-03-31</v>
      </c>
      <c r="I6" s="11">
        <v>67.595799999999997</v>
      </c>
      <c r="J6" s="12">
        <f t="shared" si="0"/>
        <v>3290.5635439999996</v>
      </c>
      <c r="K6" s="18">
        <f t="shared" si="2"/>
        <v>290.56354399999964</v>
      </c>
      <c r="L6" s="17">
        <f t="shared" si="3"/>
        <v>0.12784058424489317</v>
      </c>
      <c r="M6" s="19">
        <f>(J6-F6)/F6</f>
        <v>9.6854514666666544E-2</v>
      </c>
    </row>
    <row r="7" spans="1:13" ht="15" thickBot="1" x14ac:dyDescent="0.35">
      <c r="A7" s="22" t="s">
        <v>15</v>
      </c>
      <c r="B7" s="16" t="s">
        <v>29</v>
      </c>
      <c r="C7" s="16">
        <v>29.3</v>
      </c>
      <c r="D7" s="6" t="s">
        <v>8</v>
      </c>
      <c r="E7" s="23" t="s">
        <v>8</v>
      </c>
      <c r="F7" s="24">
        <v>1000</v>
      </c>
      <c r="G7" s="25">
        <f t="shared" si="1"/>
        <v>4.2071198772530703E-2</v>
      </c>
      <c r="H7" s="26" t="str">
        <f>'[1]Vanguard European Stock'!A2</f>
        <v>2026-03-31</v>
      </c>
      <c r="I7" s="27">
        <v>36.957599999999999</v>
      </c>
      <c r="J7" s="12">
        <f t="shared" si="0"/>
        <v>1082.8576800000001</v>
      </c>
      <c r="K7" s="18">
        <f t="shared" si="2"/>
        <v>82.857680000000073</v>
      </c>
      <c r="L7" s="17">
        <f t="shared" si="3"/>
        <v>4.2069741737000656E-2</v>
      </c>
      <c r="M7" s="19">
        <f>(J7-F7)/F7</f>
        <v>8.2857680000000072E-2</v>
      </c>
    </row>
    <row r="8" spans="1:13" ht="15" thickBot="1" x14ac:dyDescent="0.35">
      <c r="A8" s="22" t="s">
        <v>16</v>
      </c>
      <c r="B8" s="16" t="s">
        <v>30</v>
      </c>
      <c r="C8" s="16">
        <v>3.99</v>
      </c>
      <c r="D8" s="6" t="s">
        <v>8</v>
      </c>
      <c r="E8" s="23" t="s">
        <v>17</v>
      </c>
      <c r="F8" s="24">
        <v>1000</v>
      </c>
      <c r="G8" s="25">
        <f t="shared" si="1"/>
        <v>4.2071198772530703E-2</v>
      </c>
      <c r="H8" s="28" t="str">
        <f>'[1]VANGUARD EM STOCK IND (EUR) ACC'!A2</f>
        <v>2026-03-31</v>
      </c>
      <c r="I8" s="27">
        <v>252.75890000000001</v>
      </c>
      <c r="J8" s="12">
        <f t="shared" si="0"/>
        <v>1008.5080110000001</v>
      </c>
      <c r="K8" s="18">
        <f t="shared" si="2"/>
        <v>8.5080110000001241</v>
      </c>
      <c r="L8" s="17">
        <f t="shared" si="3"/>
        <v>3.9181207601045244E-2</v>
      </c>
      <c r="M8" s="19">
        <f>(J8-F8)/F8</f>
        <v>8.5080110000001243E-3</v>
      </c>
    </row>
    <row r="9" spans="1:13" ht="15" thickBot="1" x14ac:dyDescent="0.35">
      <c r="A9" s="4" t="s">
        <v>7</v>
      </c>
      <c r="B9" s="16" t="s">
        <v>26</v>
      </c>
      <c r="C9" s="16">
        <v>4.7089999999999996</v>
      </c>
      <c r="D9" s="6" t="s">
        <v>8</v>
      </c>
      <c r="E9" s="20" t="s">
        <v>9</v>
      </c>
      <c r="F9" s="8">
        <v>1000</v>
      </c>
      <c r="G9" s="9">
        <f>F9/$F$10</f>
        <v>4.2071198772530703E-2</v>
      </c>
      <c r="H9" s="21" t="str">
        <f>'[1]Horos Value Internacional, FI'!A2</f>
        <v>2026-03-30</v>
      </c>
      <c r="I9" s="11">
        <v>200.64160000000001</v>
      </c>
      <c r="J9" s="12">
        <f t="shared" si="0"/>
        <v>944.82129439999994</v>
      </c>
      <c r="K9" s="18">
        <f>J9-F9</f>
        <v>-55.178705600000058</v>
      </c>
      <c r="L9" s="17">
        <f>J9/$J$10</f>
        <v>3.6706936264262038E-2</v>
      </c>
      <c r="M9" s="19">
        <f>(J9-F9)/F9</f>
        <v>-5.5178705600000058E-2</v>
      </c>
    </row>
    <row r="10" spans="1:13" ht="15" thickBot="1" x14ac:dyDescent="0.35">
      <c r="A10" s="29" t="s">
        <v>24</v>
      </c>
      <c r="B10" s="30"/>
      <c r="C10" s="31"/>
      <c r="D10" s="32"/>
      <c r="E10" s="31"/>
      <c r="F10" s="33">
        <f>SUM(F3:F9)</f>
        <v>23769.23</v>
      </c>
      <c r="G10" s="32"/>
      <c r="H10" s="34"/>
      <c r="I10" s="31"/>
      <c r="J10" s="35">
        <f>SUM(J3:J9)</f>
        <v>25739.584682252007</v>
      </c>
      <c r="K10" s="36">
        <f>SUM(K3:K9)</f>
        <v>1970.3546822520016</v>
      </c>
      <c r="L10" s="34"/>
      <c r="M10" s="37">
        <f>(J10-F10)/F10</f>
        <v>8.2895183489410787E-2</v>
      </c>
    </row>
    <row r="11" spans="1:13" ht="15" thickBot="1" x14ac:dyDescent="0.35">
      <c r="A11" s="38"/>
      <c r="B11" s="39"/>
      <c r="C11" s="39"/>
      <c r="D11" s="40"/>
      <c r="E11" s="39"/>
      <c r="F11" s="39"/>
      <c r="G11" s="40"/>
      <c r="H11" s="41"/>
      <c r="I11" s="39"/>
      <c r="J11" s="40"/>
      <c r="K11" s="39"/>
      <c r="L11" s="39"/>
      <c r="M11" s="39"/>
    </row>
    <row r="12" spans="1:13" ht="15" thickBot="1" x14ac:dyDescent="0.35">
      <c r="A12" s="54" t="s">
        <v>18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</row>
    <row r="13" spans="1:13" ht="15" thickBot="1" x14ac:dyDescent="0.35">
      <c r="A13" s="42" t="s">
        <v>19</v>
      </c>
      <c r="B13" s="51" t="s">
        <v>32</v>
      </c>
      <c r="C13" s="10">
        <v>2224</v>
      </c>
      <c r="D13" s="42" t="s">
        <v>8</v>
      </c>
      <c r="E13" s="8"/>
      <c r="F13" s="43">
        <v>8342.2199999999993</v>
      </c>
      <c r="G13" s="44"/>
      <c r="H13" s="45" t="str">
        <f>'[1]Acciones Santander'!A2</f>
        <v>2026-03-31</v>
      </c>
      <c r="I13" s="11">
        <v>9.49</v>
      </c>
      <c r="J13" s="44">
        <f>I13*C13</f>
        <v>21105.760000000002</v>
      </c>
      <c r="K13" s="8">
        <f>J13-F13</f>
        <v>12763.540000000003</v>
      </c>
      <c r="L13" s="9"/>
      <c r="M13" s="46">
        <f>(J13-F13)/F13</f>
        <v>1.5299932152352735</v>
      </c>
    </row>
    <row r="14" spans="1:13" ht="15" thickBot="1" x14ac:dyDescent="0.35">
      <c r="A14" s="29" t="s">
        <v>24</v>
      </c>
      <c r="B14" s="29"/>
      <c r="C14" s="48"/>
      <c r="D14" s="47"/>
      <c r="E14" s="49"/>
      <c r="F14" s="33">
        <f>SUM(F13)</f>
        <v>8342.2199999999993</v>
      </c>
      <c r="G14" s="47"/>
      <c r="H14" s="29"/>
      <c r="I14" s="48"/>
      <c r="J14" s="33">
        <f>SUM(J13)</f>
        <v>21105.760000000002</v>
      </c>
      <c r="K14" s="33">
        <f>SUM(K13)</f>
        <v>12763.540000000003</v>
      </c>
      <c r="L14" s="47"/>
      <c r="M14" s="50"/>
    </row>
  </sheetData>
  <mergeCells count="2">
    <mergeCell ref="A2:M2"/>
    <mergeCell ref="A12:M12"/>
  </mergeCells>
  <conditionalFormatting sqref="M3:M10">
    <cfRule type="cellIs" dxfId="1" priority="2" operator="lessThan">
      <formula>0</formula>
    </cfRule>
  </conditionalFormatting>
  <conditionalFormatting sqref="M1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Cartera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Alvarez Fernandez</dc:creator>
  <cp:lastModifiedBy>Jorge Alvarez Fernandez</cp:lastModifiedBy>
  <dcterms:created xsi:type="dcterms:W3CDTF">2026-04-01T06:59:56Z</dcterms:created>
  <dcterms:modified xsi:type="dcterms:W3CDTF">2026-04-02T09:23:05Z</dcterms:modified>
</cp:coreProperties>
</file>